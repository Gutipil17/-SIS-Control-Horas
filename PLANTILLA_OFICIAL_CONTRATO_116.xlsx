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ndresgutierrez/Desktop/COMISION 16 AL 30 DE SEP 2026/"/>
    </mc:Choice>
  </mc:AlternateContent>
  <xr:revisionPtr revIDLastSave="0" documentId="13_ncr:1_{E350D5B3-1012-0C4A-9B66-5833CBBFF74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MMA7 UNGRD" sheetId="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5" l="1"/>
  <c r="J23" i="5"/>
  <c r="J22" i="5"/>
  <c r="F34" i="5"/>
  <c r="G34" i="5"/>
  <c r="H34" i="5"/>
  <c r="F4" i="5" s="1"/>
  <c r="I34" i="5"/>
  <c r="C39" i="5" s="1"/>
  <c r="J34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E35" i="5"/>
  <c r="E36" i="5"/>
  <c r="J8" i="5"/>
  <c r="F3" i="5"/>
  <c r="C38" i="5" l="1"/>
  <c r="H35" i="5"/>
  <c r="F6" i="5"/>
  <c r="E39" i="5"/>
  <c r="F5" i="5"/>
  <c r="E38" i="5"/>
  <c r="H36" i="5"/>
  <c r="E40" i="5" l="1"/>
  <c r="E42" i="5" s="1"/>
</calcChain>
</file>

<file path=xl/sharedStrings.xml><?xml version="1.0" encoding="utf-8"?>
<sst xmlns="http://schemas.openxmlformats.org/spreadsheetml/2006/main" count="147" uniqueCount="84">
  <si>
    <t>TOTAL HORAS CONTRATO</t>
  </si>
  <si>
    <t>HORAS PAX:</t>
  </si>
  <si>
    <t>TOTAL HORAS CONTRATO PAX:</t>
  </si>
  <si>
    <t>HORAS CARGA:</t>
  </si>
  <si>
    <t>TOTAL HORAS CONTRATO CARGA:</t>
  </si>
  <si>
    <t>PROMEDIO COMB</t>
  </si>
  <si>
    <t>FECHA</t>
  </si>
  <si>
    <t>UNIDAD</t>
  </si>
  <si>
    <t>MATRICULA</t>
  </si>
  <si>
    <t>#REGISTRO</t>
  </si>
  <si>
    <t xml:space="preserve">No.AUTORIZACION </t>
  </si>
  <si>
    <t>PAX</t>
  </si>
  <si>
    <t>CARGA</t>
  </si>
  <si>
    <t>HORAS PAX</t>
  </si>
  <si>
    <t>HORAS CARGA</t>
  </si>
  <si>
    <t>T TOTAL</t>
  </si>
  <si>
    <t>COMBUSTIBLE</t>
  </si>
  <si>
    <t>OBSERVACIONES - REQUERIMIENTOS</t>
  </si>
  <si>
    <t>RUTA</t>
  </si>
  <si>
    <t xml:space="preserve">TOTAL HORAS PAX ACUMULADO : </t>
  </si>
  <si>
    <t>PROMEDIO COMBUSTIBLE:</t>
  </si>
  <si>
    <t>TOTAL HORAS CARGA ACUMULADO:</t>
  </si>
  <si>
    <t>TOTAL ACUMULADO</t>
  </si>
  <si>
    <t>HORAS PAX DISPONIBLES</t>
  </si>
  <si>
    <t>HORAS CARGA DISPONIBLES</t>
  </si>
  <si>
    <t>TOTAL</t>
  </si>
  <si>
    <t>MES</t>
  </si>
  <si>
    <t>HK</t>
  </si>
  <si>
    <t xml:space="preserve">REPORTE DE OPERACIONES CONVENIO: </t>
  </si>
  <si>
    <t>TOTAL MES:</t>
  </si>
  <si>
    <t xml:space="preserve">HORAS VOLADAS PAX </t>
  </si>
  <si>
    <t xml:space="preserve">HORAS VOLADAS CARGA </t>
  </si>
  <si>
    <t>SEPTIEMBRE</t>
  </si>
  <si>
    <t>HK 4900</t>
  </si>
  <si>
    <t>PLAN DEMOCRACIA - UNGRD</t>
  </si>
  <si>
    <t>BMMA 7</t>
  </si>
  <si>
    <t>181-116-2026</t>
  </si>
  <si>
    <t>175-116-2026</t>
  </si>
  <si>
    <t>PEREIRA - ANIMAS - AOP - QUIBDO</t>
  </si>
  <si>
    <t>QUIBDO - AOP - QUIBDO</t>
  </si>
  <si>
    <t>CALI - PEREIRA</t>
  </si>
  <si>
    <t>174-116-2026</t>
  </si>
  <si>
    <t>184-116-2026</t>
  </si>
  <si>
    <t>QUIBDO - CAREPA - AOP - GIRARDOT</t>
  </si>
  <si>
    <t>BMMA7</t>
  </si>
  <si>
    <t>HK3911</t>
  </si>
  <si>
    <t>159-116-2026</t>
  </si>
  <si>
    <t>187-116-2026</t>
  </si>
  <si>
    <t>188-116-2026</t>
  </si>
  <si>
    <t>190-116-2026</t>
  </si>
  <si>
    <t>192-116-2026</t>
  </si>
  <si>
    <t>4900 -3911</t>
  </si>
  <si>
    <t>TULUA - QUIBDO - CAREPA</t>
  </si>
  <si>
    <t>CAREPA - MUTATA - MURINDO - CAREPA - CUTI - CAREPA</t>
  </si>
  <si>
    <t>CAREPA - SAN PEDRO - CAREPA - GUAMAL</t>
  </si>
  <si>
    <t xml:space="preserve">CAREPA - GUAMAL - CAREPA - TURBO -QUIBDO-   PUERTO LIBERTADOR - CAUCASIA </t>
  </si>
  <si>
    <t>194-116-2026</t>
  </si>
  <si>
    <t xml:space="preserve">CAUCACIA - PTO LIBERTADOR - CERRO MANZANO - PTO LIBERTADOR - CAUCACIA </t>
  </si>
  <si>
    <t>195-116-2026</t>
  </si>
  <si>
    <t xml:space="preserve">CAUCACIA - TARAZA - ALTO DOLORES - DORADAS ALTAS- TARAZA- CAUCACIA </t>
  </si>
  <si>
    <t>196-116-2026</t>
  </si>
  <si>
    <t xml:space="preserve">Caucacia - taraza - Briceño - taraza - caucacia - carepa </t>
  </si>
  <si>
    <t>CAREPA-TURBO-QUIBDO-CAREPA-TURBO-QUIBDO-CAREPA</t>
  </si>
  <si>
    <t>201-116-2026</t>
  </si>
  <si>
    <t>203-116-2026</t>
  </si>
  <si>
    <t>HORAS VOLADAS HK 3911</t>
  </si>
  <si>
    <t>CONTRATO 116 CENACAVIACION 2026</t>
  </si>
  <si>
    <t>207-116-2026</t>
  </si>
  <si>
    <t>CAREPA - BTI LIMON - VDA LA PLANCHA - BTI LIMON - VDA LA PLANCHA - BTI LIMON - ANORI BTI PROVIDENCIA - VDA LIBERIA - SEGOVIA - ANORI - VDA LIBERIA - SEGOVIA - ANORI - CAREPA</t>
  </si>
  <si>
    <t>CAREPA-TARAZA-VDA LIBERIA-CAUCACIA -TARAZA-CAREPA-TURBO-QUINDO-CAREPA</t>
  </si>
  <si>
    <t>210-116-2026</t>
  </si>
  <si>
    <t>212-116-2026</t>
  </si>
  <si>
    <t>220-116-2026</t>
  </si>
  <si>
    <t>222-116-2026</t>
  </si>
  <si>
    <t>227-116-2026</t>
  </si>
  <si>
    <t>229-116-2026</t>
  </si>
  <si>
    <t xml:space="preserve">CAUCACIA TARAZA - ALTO DOLORES - RAUDAL VIEJO - DORADAS ALTAS - TARAZA - CAUCACIA </t>
  </si>
  <si>
    <t>CAREPA-TURBO-QUIBDO-ANIMAS-MEDELLIN</t>
  </si>
  <si>
    <t xml:space="preserve">MEDELLIN-SEGOVIA </t>
  </si>
  <si>
    <t xml:space="preserve">CAREPA - CAREPA - TURBO - QUIBDO - CAREPA </t>
  </si>
  <si>
    <t xml:space="preserve">AGUACHICA - CAREPA- UNGIA - CAREPA - CUTI - CAREPA </t>
  </si>
  <si>
    <t xml:space="preserve">CAREPA - TARAZA - VEGAS DE SEGOVIA - VDA LAS BLANQUITAS -TARAZA - CAUCASIA </t>
  </si>
  <si>
    <t>230-116-2026</t>
  </si>
  <si>
    <t>CAUCASIA-PUERTOLIBERTADOR-CERRO SOMBRERO-VDA PARAISO-CERRO MANZANO-BTI HIGUERO-PUERTO LIBERTADOR - CAUCASIA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</si>
</sst>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&quot;$&quot;\ #,##0"/>
    <numFmt numFmtId="166" formatCode="#,##0.0"/>
  </numFmts>
  <fonts count="17" x14ac:knownFonts="1">
    <font>
      <sz val="11"/>
      <color rgb="FF000000"/>
      <name val="Aptos Narrow"/>
      <scheme val="minor"/>
    </font>
    <font>
      <b/>
      <sz val="12"/>
      <name val="Arial"/>
      <family val="2"/>
    </font>
    <font>
      <sz val="8"/>
      <name val="Arial"/>
      <family val="2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2"/>
      <name val="Aptos Narrow"/>
      <family val="2"/>
    </font>
    <font>
      <b/>
      <sz val="12"/>
      <name val="Aptos Narrow"/>
      <family val="2"/>
    </font>
    <font>
      <sz val="12"/>
      <color rgb="FF000000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</font>
    <font>
      <b/>
      <sz val="10"/>
      <name val="Aptos Narrow"/>
      <family val="2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rgb="FF0E284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45B0E1"/>
        <bgColor rgb="FF45B0E1"/>
      </patternFill>
    </fill>
    <fill>
      <patternFill patternType="solid">
        <fgColor rgb="FF84E291"/>
        <bgColor rgb="FF84E291"/>
      </patternFill>
    </fill>
    <fill>
      <patternFill patternType="solid">
        <fgColor rgb="FF47D45A"/>
        <bgColor rgb="FF47D45A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D4EF"/>
        <bgColor rgb="FFB8D4EF"/>
      </patternFill>
    </fill>
    <fill>
      <patternFill patternType="solid">
        <fgColor rgb="FFA6C9EB"/>
        <bgColor rgb="FFA6C9EB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A6C9EB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9" fillId="0" borderId="1" xfId="0" applyFont="1" applyBorder="1"/>
    <xf numFmtId="0" fontId="11" fillId="0" borderId="0" xfId="0" applyFont="1"/>
    <xf numFmtId="0" fontId="8" fillId="0" borderId="0" xfId="0" applyFont="1" applyAlignment="1">
      <alignment horizontal="center"/>
    </xf>
    <xf numFmtId="0" fontId="11" fillId="3" borderId="3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164" fontId="11" fillId="0" borderId="4" xfId="0" applyNumberFormat="1" applyFont="1" applyBorder="1" applyAlignment="1">
      <alignment horizontal="center" vertical="top"/>
    </xf>
    <xf numFmtId="0" fontId="11" fillId="3" borderId="3" xfId="0" applyFont="1" applyFill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3" xfId="0" applyFont="1" applyFill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2" fontId="11" fillId="0" borderId="16" xfId="0" applyNumberFormat="1" applyFont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166" fontId="8" fillId="0" borderId="23" xfId="0" applyNumberFormat="1" applyFont="1" applyBorder="1" applyAlignment="1">
      <alignment horizontal="center" vertical="center"/>
    </xf>
    <xf numFmtId="164" fontId="8" fillId="5" borderId="25" xfId="0" applyNumberFormat="1" applyFont="1" applyFill="1" applyBorder="1" applyAlignment="1">
      <alignment horizontal="center" vertical="center"/>
    </xf>
    <xf numFmtId="164" fontId="8" fillId="6" borderId="2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5" borderId="19" xfId="0" applyNumberFormat="1" applyFont="1" applyFill="1" applyBorder="1" applyAlignment="1">
      <alignment horizontal="center" vertical="center"/>
    </xf>
    <xf numFmtId="164" fontId="8" fillId="7" borderId="4" xfId="0" applyNumberFormat="1" applyFont="1" applyFill="1" applyBorder="1" applyAlignment="1">
      <alignment horizontal="center" vertical="center"/>
    </xf>
    <xf numFmtId="164" fontId="11" fillId="8" borderId="32" xfId="0" applyNumberFormat="1" applyFont="1" applyFill="1" applyBorder="1" applyAlignment="1">
      <alignment horizontal="center" vertical="center"/>
    </xf>
    <xf numFmtId="165" fontId="11" fillId="9" borderId="19" xfId="0" applyNumberFormat="1" applyFont="1" applyFill="1" applyBorder="1" applyAlignment="1">
      <alignment horizontal="center" vertical="center"/>
    </xf>
    <xf numFmtId="164" fontId="11" fillId="9" borderId="19" xfId="0" applyNumberFormat="1" applyFont="1" applyFill="1" applyBorder="1" applyAlignment="1">
      <alignment horizontal="center" vertical="center"/>
    </xf>
    <xf numFmtId="164" fontId="11" fillId="8" borderId="34" xfId="0" applyNumberFormat="1" applyFont="1" applyFill="1" applyBorder="1" applyAlignment="1">
      <alignment horizontal="center" vertical="center"/>
    </xf>
    <xf numFmtId="165" fontId="11" fillId="9" borderId="33" xfId="0" applyNumberFormat="1" applyFont="1" applyFill="1" applyBorder="1" applyAlignment="1">
      <alignment horizontal="center" vertical="center"/>
    </xf>
    <xf numFmtId="49" fontId="8" fillId="0" borderId="0" xfId="0" applyNumberFormat="1" applyFont="1"/>
    <xf numFmtId="0" fontId="8" fillId="0" borderId="5" xfId="0" applyFont="1" applyBorder="1" applyAlignment="1">
      <alignment vertical="center"/>
    </xf>
    <xf numFmtId="0" fontId="9" fillId="0" borderId="5" xfId="0" applyFont="1" applyBorder="1"/>
    <xf numFmtId="0" fontId="9" fillId="0" borderId="18" xfId="0" applyFont="1" applyBorder="1"/>
    <xf numFmtId="0" fontId="9" fillId="0" borderId="2" xfId="0" applyFont="1" applyBorder="1"/>
    <xf numFmtId="0" fontId="6" fillId="0" borderId="35" xfId="0" applyFont="1" applyBorder="1" applyAlignment="1">
      <alignment horizontal="center"/>
    </xf>
    <xf numFmtId="164" fontId="11" fillId="0" borderId="5" xfId="0" applyNumberFormat="1" applyFont="1" applyBorder="1" applyAlignment="1">
      <alignment horizontal="center" vertical="center"/>
    </xf>
    <xf numFmtId="165" fontId="8" fillId="12" borderId="34" xfId="0" applyNumberFormat="1" applyFont="1" applyFill="1" applyBorder="1" applyAlignment="1">
      <alignment horizontal="center" vertical="center"/>
    </xf>
    <xf numFmtId="165" fontId="8" fillId="9" borderId="36" xfId="0" applyNumberFormat="1" applyFont="1" applyFill="1" applyBorder="1" applyAlignment="1">
      <alignment horizontal="center" vertical="center"/>
    </xf>
    <xf numFmtId="164" fontId="8" fillId="9" borderId="33" xfId="0" applyNumberFormat="1" applyFont="1" applyFill="1" applyBorder="1" applyAlignment="1">
      <alignment horizontal="center" vertical="center"/>
    </xf>
    <xf numFmtId="165" fontId="11" fillId="11" borderId="34" xfId="0" applyNumberFormat="1" applyFont="1" applyFill="1" applyBorder="1" applyAlignment="1">
      <alignment horizontal="center" vertical="center"/>
    </xf>
    <xf numFmtId="164" fontId="11" fillId="11" borderId="34" xfId="0" applyNumberFormat="1" applyFont="1" applyFill="1" applyBorder="1" applyAlignment="1">
      <alignment horizontal="center" vertical="center"/>
    </xf>
    <xf numFmtId="164" fontId="8" fillId="11" borderId="34" xfId="0" applyNumberFormat="1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49" fontId="8" fillId="4" borderId="40" xfId="0" applyNumberFormat="1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3" fontId="11" fillId="0" borderId="37" xfId="1" applyNumberFormat="1" applyFont="1" applyBorder="1" applyAlignment="1">
      <alignment horizontal="center" vertical="center"/>
    </xf>
    <xf numFmtId="164" fontId="13" fillId="0" borderId="37" xfId="0" applyNumberFormat="1" applyFont="1" applyBorder="1" applyAlignment="1">
      <alignment horizontal="center" vertical="center"/>
    </xf>
    <xf numFmtId="166" fontId="11" fillId="0" borderId="37" xfId="0" applyNumberFormat="1" applyFont="1" applyBorder="1" applyAlignment="1">
      <alignment horizontal="center" vertical="center"/>
    </xf>
    <xf numFmtId="164" fontId="11" fillId="0" borderId="37" xfId="0" applyNumberFormat="1" applyFont="1" applyBorder="1" applyAlignment="1">
      <alignment horizontal="center" vertical="center"/>
    </xf>
    <xf numFmtId="14" fontId="13" fillId="0" borderId="47" xfId="0" applyNumberFormat="1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3" fontId="11" fillId="0" borderId="49" xfId="1" applyNumberFormat="1" applyFont="1" applyBorder="1" applyAlignment="1">
      <alignment horizontal="center" vertical="center"/>
    </xf>
    <xf numFmtId="164" fontId="11" fillId="0" borderId="49" xfId="0" applyNumberFormat="1" applyFont="1" applyBorder="1" applyAlignment="1">
      <alignment horizontal="center" vertical="center"/>
    </xf>
    <xf numFmtId="166" fontId="11" fillId="0" borderId="49" xfId="0" applyNumberFormat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14" fontId="13" fillId="0" borderId="55" xfId="0" applyNumberFormat="1" applyFont="1" applyBorder="1" applyAlignment="1">
      <alignment horizontal="center" vertical="center"/>
    </xf>
    <xf numFmtId="164" fontId="14" fillId="10" borderId="53" xfId="0" applyNumberFormat="1" applyFont="1" applyFill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14" fontId="13" fillId="0" borderId="62" xfId="0" applyNumberFormat="1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3" fontId="11" fillId="0" borderId="63" xfId="1" applyNumberFormat="1" applyFont="1" applyBorder="1" applyAlignment="1">
      <alignment horizontal="center" vertical="center"/>
    </xf>
    <xf numFmtId="164" fontId="11" fillId="0" borderId="63" xfId="0" applyNumberFormat="1" applyFont="1" applyBorder="1" applyAlignment="1">
      <alignment horizontal="center" vertical="center"/>
    </xf>
    <xf numFmtId="166" fontId="11" fillId="0" borderId="63" xfId="0" applyNumberFormat="1" applyFont="1" applyBorder="1" applyAlignment="1">
      <alignment horizontal="center" vertical="center"/>
    </xf>
    <xf numFmtId="14" fontId="13" fillId="0" borderId="34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3" fontId="11" fillId="0" borderId="34" xfId="1" applyNumberFormat="1" applyFont="1" applyBorder="1" applyAlignment="1">
      <alignment horizontal="center" vertical="center"/>
    </xf>
    <xf numFmtId="164" fontId="11" fillId="0" borderId="34" xfId="0" applyNumberFormat="1" applyFont="1" applyBorder="1" applyAlignment="1">
      <alignment horizontal="center" vertical="center"/>
    </xf>
    <xf numFmtId="166" fontId="11" fillId="0" borderId="34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14" fontId="14" fillId="10" borderId="59" xfId="0" applyNumberFormat="1" applyFont="1" applyFill="1" applyBorder="1" applyAlignment="1">
      <alignment horizontal="center" vertical="center"/>
    </xf>
    <xf numFmtId="0" fontId="14" fillId="10" borderId="53" xfId="0" applyFont="1" applyFill="1" applyBorder="1" applyAlignment="1">
      <alignment horizontal="center" vertical="center"/>
    </xf>
    <xf numFmtId="0" fontId="14" fillId="10" borderId="45" xfId="0" applyFont="1" applyFill="1" applyBorder="1" applyAlignment="1">
      <alignment horizontal="center" vertical="center"/>
    </xf>
    <xf numFmtId="49" fontId="11" fillId="0" borderId="45" xfId="0" applyNumberFormat="1" applyFont="1" applyBorder="1" applyAlignment="1">
      <alignment horizontal="center" vertical="center"/>
    </xf>
    <xf numFmtId="164" fontId="14" fillId="10" borderId="45" xfId="0" applyNumberFormat="1" applyFont="1" applyFill="1" applyBorder="1" applyAlignment="1">
      <alignment horizontal="center" vertical="center"/>
    </xf>
    <xf numFmtId="164" fontId="14" fillId="10" borderId="53" xfId="0" applyNumberFormat="1" applyFont="1" applyFill="1" applyBorder="1" applyAlignment="1">
      <alignment horizontal="center" vertical="center"/>
    </xf>
    <xf numFmtId="0" fontId="14" fillId="10" borderId="46" xfId="0" applyFont="1" applyFill="1" applyBorder="1" applyAlignment="1">
      <alignment horizontal="center" vertical="center"/>
    </xf>
    <xf numFmtId="14" fontId="14" fillId="10" borderId="51" xfId="0" applyNumberFormat="1" applyFont="1" applyFill="1" applyBorder="1" applyAlignment="1">
      <alignment horizontal="center" vertical="center"/>
    </xf>
    <xf numFmtId="0" fontId="14" fillId="10" borderId="37" xfId="0" applyFont="1" applyFill="1" applyBorder="1" applyAlignment="1">
      <alignment horizontal="center" vertical="center"/>
    </xf>
    <xf numFmtId="0" fontId="14" fillId="10" borderId="52" xfId="0" applyFont="1" applyFill="1" applyBorder="1" applyAlignment="1">
      <alignment horizontal="center" vertical="center"/>
    </xf>
    <xf numFmtId="49" fontId="11" fillId="0" borderId="37" xfId="0" applyNumberFormat="1" applyFont="1" applyBorder="1" applyAlignment="1">
      <alignment horizontal="center" vertical="center"/>
    </xf>
    <xf numFmtId="164" fontId="14" fillId="10" borderId="37" xfId="0" applyNumberFormat="1" applyFont="1" applyFill="1" applyBorder="1" applyAlignment="1">
      <alignment horizontal="center" vertical="center"/>
    </xf>
    <xf numFmtId="164" fontId="14" fillId="10" borderId="56" xfId="0" applyNumberFormat="1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/>
    </xf>
    <xf numFmtId="14" fontId="14" fillId="10" borderId="47" xfId="0" applyNumberFormat="1" applyFont="1" applyFill="1" applyBorder="1" applyAlignment="1">
      <alignment horizontal="center" vertical="center"/>
    </xf>
    <xf numFmtId="0" fontId="14" fillId="10" borderId="54" xfId="0" applyFont="1" applyFill="1" applyBorder="1" applyAlignment="1">
      <alignment horizontal="center" vertical="center"/>
    </xf>
    <xf numFmtId="14" fontId="15" fillId="0" borderId="60" xfId="0" applyNumberFormat="1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4" fontId="13" fillId="13" borderId="47" xfId="0" applyNumberFormat="1" applyFont="1" applyFill="1" applyBorder="1" applyAlignment="1">
      <alignment horizontal="center" vertical="center" wrapText="1"/>
    </xf>
    <xf numFmtId="0" fontId="15" fillId="13" borderId="37" xfId="0" applyFont="1" applyFill="1" applyBorder="1" applyAlignment="1">
      <alignment horizontal="center" vertical="center" wrapText="1"/>
    </xf>
    <xf numFmtId="3" fontId="15" fillId="13" borderId="37" xfId="0" applyNumberFormat="1" applyFont="1" applyFill="1" applyBorder="1" applyAlignment="1">
      <alignment horizontal="center" vertical="center" wrapText="1"/>
    </xf>
    <xf numFmtId="0" fontId="13" fillId="13" borderId="37" xfId="0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5" borderId="20" xfId="0" applyFont="1" applyFill="1" applyBorder="1" applyAlignment="1">
      <alignment horizontal="center" vertical="center"/>
    </xf>
    <xf numFmtId="0" fontId="9" fillId="0" borderId="24" xfId="0" applyFont="1" applyBorder="1"/>
    <xf numFmtId="0" fontId="9" fillId="0" borderId="21" xfId="0" applyFont="1" applyBorder="1"/>
    <xf numFmtId="0" fontId="8" fillId="7" borderId="29" xfId="0" applyFont="1" applyFill="1" applyBorder="1" applyAlignment="1">
      <alignment horizontal="center" vertical="center"/>
    </xf>
    <xf numFmtId="0" fontId="9" fillId="0" borderId="30" xfId="0" applyFont="1" applyBorder="1"/>
    <xf numFmtId="0" fontId="11" fillId="8" borderId="32" xfId="0" applyFont="1" applyFill="1" applyBorder="1" applyAlignment="1">
      <alignment horizontal="center" vertical="center"/>
    </xf>
    <xf numFmtId="0" fontId="9" fillId="0" borderId="33" xfId="0" applyFont="1" applyBorder="1"/>
    <xf numFmtId="0" fontId="11" fillId="8" borderId="34" xfId="0" applyFont="1" applyFill="1" applyBorder="1" applyAlignment="1">
      <alignment horizontal="center" vertical="center"/>
    </xf>
    <xf numFmtId="0" fontId="9" fillId="0" borderId="34" xfId="0" applyFont="1" applyBorder="1"/>
    <xf numFmtId="0" fontId="11" fillId="0" borderId="0" xfId="0" applyFont="1" applyAlignment="1">
      <alignment horizontal="center" vertical="center"/>
    </xf>
    <xf numFmtId="0" fontId="9" fillId="0" borderId="0" xfId="0" applyFont="1"/>
    <xf numFmtId="0" fontId="8" fillId="6" borderId="26" xfId="0" applyFont="1" applyFill="1" applyBorder="1" applyAlignment="1">
      <alignment horizontal="center" vertical="center"/>
    </xf>
    <xf numFmtId="0" fontId="9" fillId="0" borderId="27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0" xfId="0" applyFont="1"/>
    <xf numFmtId="0" fontId="5" fillId="0" borderId="2" xfId="0" applyFont="1" applyBorder="1"/>
    <xf numFmtId="49" fontId="1" fillId="0" borderId="1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8" fillId="2" borderId="3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10" fillId="0" borderId="22" xfId="0" applyFont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492673</xdr:colOff>
      <xdr:row>52</xdr:row>
      <xdr:rowOff>120431</xdr:rowOff>
    </xdr:from>
    <xdr:to>
      <xdr:col>12</xdr:col>
      <xdr:colOff>2769038</xdr:colOff>
      <xdr:row>58</xdr:row>
      <xdr:rowOff>101784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CFF3B3-0A7E-C605-0721-24D19F952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7328" y="9711121"/>
          <a:ext cx="7772400" cy="1032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1740-530C-A24C-A38E-894E2890E09B}">
  <dimension ref="A1:N111"/>
  <sheetViews>
    <sheetView tabSelected="1" topLeftCell="A2" zoomScale="116" zoomScaleNormal="100" zoomScaleSheetLayoutView="100" workbookViewId="0">
      <selection activeCell="C21" sqref="C21"/>
    </sheetView>
  </sheetViews>
  <sheetFormatPr baseColWidth="10" defaultColWidth="14.33203125" defaultRowHeight="15" x14ac:dyDescent="0.2"/>
  <cols>
    <col min="1" max="1" width="15" customWidth="1"/>
    <col min="2" max="2" width="17.33203125" customWidth="1"/>
    <col min="3" max="3" width="16" bestFit="1" customWidth="1"/>
    <col min="4" max="4" width="27.33203125" customWidth="1"/>
    <col min="5" max="5" width="21" customWidth="1"/>
    <col min="6" max="6" width="26.33203125" bestFit="1" customWidth="1"/>
    <col min="7" max="7" width="12" bestFit="1" customWidth="1"/>
    <col min="8" max="8" width="16.33203125" bestFit="1" customWidth="1"/>
    <col min="9" max="9" width="19.1640625" bestFit="1" customWidth="1"/>
    <col min="10" max="10" width="13" bestFit="1" customWidth="1"/>
    <col min="11" max="11" width="18.83203125" bestFit="1" customWidth="1"/>
    <col min="12" max="12" width="40.33203125" bestFit="1" customWidth="1"/>
    <col min="13" max="13" width="120.33203125" bestFit="1" customWidth="1"/>
    <col min="14" max="14" width="12.6640625" customWidth="1"/>
  </cols>
  <sheetData>
    <row r="1" spans="1:14" s="77" customFormat="1" ht="15" customHeight="1" x14ac:dyDescent="0.2">
      <c r="A1" s="128" t="s">
        <v>66</v>
      </c>
      <c r="B1" s="129"/>
      <c r="C1" s="129"/>
      <c r="D1" s="132" t="s">
        <v>28</v>
      </c>
      <c r="E1" s="132"/>
      <c r="F1" s="5" t="s">
        <v>35</v>
      </c>
      <c r="G1" s="4" t="s">
        <v>26</v>
      </c>
      <c r="H1" s="5" t="s">
        <v>32</v>
      </c>
      <c r="I1" s="4" t="s">
        <v>27</v>
      </c>
      <c r="J1" s="44" t="s">
        <v>51</v>
      </c>
      <c r="K1" s="6"/>
      <c r="L1" s="133"/>
      <c r="M1" s="7"/>
      <c r="N1" s="7"/>
    </row>
    <row r="2" spans="1:14" s="77" customFormat="1" ht="15" customHeight="1" thickBot="1" x14ac:dyDescent="0.25">
      <c r="A2" s="130"/>
      <c r="B2" s="130"/>
      <c r="C2" s="130"/>
      <c r="L2" s="134"/>
      <c r="M2" s="7"/>
    </row>
    <row r="3" spans="1:14" s="77" customFormat="1" ht="15" customHeight="1" thickBot="1" x14ac:dyDescent="0.25">
      <c r="A3" s="131"/>
      <c r="B3" s="131"/>
      <c r="C3" s="131"/>
      <c r="D3" s="39"/>
      <c r="E3" s="8"/>
      <c r="F3" s="135" t="str">
        <f>F1</f>
        <v>BMMA 7</v>
      </c>
      <c r="G3" s="136"/>
      <c r="H3" s="136"/>
      <c r="I3" s="137"/>
      <c r="J3" s="40"/>
      <c r="L3" s="134"/>
      <c r="M3" s="7"/>
    </row>
    <row r="4" spans="1:14" s="77" customFormat="1" ht="15" customHeight="1" thickBot="1" x14ac:dyDescent="0.25">
      <c r="A4" s="9" t="s">
        <v>0</v>
      </c>
      <c r="B4" s="10"/>
      <c r="C4" s="11">
        <v>70</v>
      </c>
      <c r="E4" s="12" t="s">
        <v>1</v>
      </c>
      <c r="F4" s="13">
        <f>H34</f>
        <v>30.1</v>
      </c>
      <c r="G4" s="14"/>
      <c r="H4" s="15"/>
      <c r="I4" s="16"/>
      <c r="J4" s="41"/>
      <c r="L4" s="134"/>
      <c r="M4" s="7"/>
    </row>
    <row r="5" spans="1:14" s="77" customFormat="1" ht="15" customHeight="1" thickBot="1" x14ac:dyDescent="0.25">
      <c r="A5" s="9" t="s">
        <v>2</v>
      </c>
      <c r="B5" s="10"/>
      <c r="C5" s="17">
        <v>29</v>
      </c>
      <c r="E5" s="12" t="s">
        <v>3</v>
      </c>
      <c r="F5" s="13">
        <f>I34</f>
        <v>41.1</v>
      </c>
      <c r="G5" s="18"/>
      <c r="H5" s="19"/>
      <c r="I5" s="16"/>
      <c r="J5" s="41"/>
      <c r="L5" s="134"/>
      <c r="M5" s="7"/>
    </row>
    <row r="6" spans="1:14" s="77" customFormat="1" ht="15" customHeight="1" thickBot="1" x14ac:dyDescent="0.25">
      <c r="A6" s="9" t="s">
        <v>4</v>
      </c>
      <c r="B6" s="20"/>
      <c r="C6" s="17">
        <v>41</v>
      </c>
      <c r="E6" s="21" t="s">
        <v>5</v>
      </c>
      <c r="F6" s="45">
        <f>K34/J34</f>
        <v>203.5561797752809</v>
      </c>
      <c r="G6" s="22"/>
      <c r="H6" s="23"/>
      <c r="I6" s="24"/>
      <c r="J6" s="42"/>
      <c r="K6" s="43"/>
      <c r="L6" s="134"/>
      <c r="M6" s="7"/>
    </row>
    <row r="7" spans="1:14" s="77" customFormat="1" ht="15" customHeight="1" thickBot="1" x14ac:dyDescent="0.25">
      <c r="A7" s="53" t="s">
        <v>6</v>
      </c>
      <c r="B7" s="53" t="s">
        <v>7</v>
      </c>
      <c r="C7" s="54" t="s">
        <v>8</v>
      </c>
      <c r="D7" s="55" t="s">
        <v>9</v>
      </c>
      <c r="E7" s="56" t="s">
        <v>10</v>
      </c>
      <c r="F7" s="57" t="s">
        <v>11</v>
      </c>
      <c r="G7" s="58" t="s">
        <v>12</v>
      </c>
      <c r="H7" s="59" t="s">
        <v>13</v>
      </c>
      <c r="I7" s="57" t="s">
        <v>14</v>
      </c>
      <c r="J7" s="58" t="s">
        <v>15</v>
      </c>
      <c r="K7" s="59" t="s">
        <v>16</v>
      </c>
      <c r="L7" s="60" t="s">
        <v>17</v>
      </c>
      <c r="M7" s="61" t="s">
        <v>18</v>
      </c>
    </row>
    <row r="8" spans="1:14" s="77" customFormat="1" ht="15" customHeight="1" thickBot="1" x14ac:dyDescent="0.25">
      <c r="A8" s="91">
        <v>46270</v>
      </c>
      <c r="B8" s="92" t="s">
        <v>35</v>
      </c>
      <c r="C8" s="92" t="s">
        <v>33</v>
      </c>
      <c r="D8" s="93"/>
      <c r="E8" s="94" t="s">
        <v>41</v>
      </c>
      <c r="F8" s="93">
        <v>0</v>
      </c>
      <c r="G8" s="93">
        <v>300</v>
      </c>
      <c r="H8" s="95">
        <v>0</v>
      </c>
      <c r="I8" s="95">
        <v>0.8</v>
      </c>
      <c r="J8" s="96">
        <f>H8+I8</f>
        <v>0.8</v>
      </c>
      <c r="K8" s="93">
        <v>104</v>
      </c>
      <c r="L8" s="93" t="s">
        <v>34</v>
      </c>
      <c r="M8" s="97" t="s">
        <v>40</v>
      </c>
      <c r="N8" s="25"/>
    </row>
    <row r="9" spans="1:14" s="77" customFormat="1" ht="15" customHeight="1" thickBot="1" x14ac:dyDescent="0.25">
      <c r="A9" s="98">
        <v>46271</v>
      </c>
      <c r="B9" s="92" t="s">
        <v>35</v>
      </c>
      <c r="C9" s="99" t="s">
        <v>33</v>
      </c>
      <c r="D9" s="100"/>
      <c r="E9" s="101" t="s">
        <v>37</v>
      </c>
      <c r="F9" s="99">
        <v>35</v>
      </c>
      <c r="G9" s="99">
        <v>6800</v>
      </c>
      <c r="H9" s="102">
        <v>1</v>
      </c>
      <c r="I9" s="103">
        <v>2.8</v>
      </c>
      <c r="J9" s="96">
        <f t="shared" ref="J9:J23" si="0">H9+I9</f>
        <v>3.8</v>
      </c>
      <c r="K9" s="100">
        <v>824.6</v>
      </c>
      <c r="L9" s="93" t="s">
        <v>34</v>
      </c>
      <c r="M9" s="104" t="s">
        <v>38</v>
      </c>
      <c r="N9" s="25"/>
    </row>
    <row r="10" spans="1:14" s="77" customFormat="1" ht="15" customHeight="1" thickBot="1" x14ac:dyDescent="0.25">
      <c r="A10" s="105">
        <v>46272</v>
      </c>
      <c r="B10" s="92" t="s">
        <v>35</v>
      </c>
      <c r="C10" s="106" t="s">
        <v>33</v>
      </c>
      <c r="D10" s="99"/>
      <c r="E10" s="101" t="s">
        <v>36</v>
      </c>
      <c r="F10" s="99">
        <v>40</v>
      </c>
      <c r="G10" s="99">
        <v>12000</v>
      </c>
      <c r="H10" s="102">
        <v>1</v>
      </c>
      <c r="I10" s="102">
        <v>2.2000000000000002</v>
      </c>
      <c r="J10" s="96">
        <f t="shared" si="0"/>
        <v>3.2</v>
      </c>
      <c r="K10" s="99">
        <v>702.4</v>
      </c>
      <c r="L10" s="93" t="s">
        <v>34</v>
      </c>
      <c r="M10" s="104" t="s">
        <v>39</v>
      </c>
      <c r="N10" s="25"/>
    </row>
    <row r="11" spans="1:14" s="77" customFormat="1" ht="15" customHeight="1" thickBot="1" x14ac:dyDescent="0.25">
      <c r="A11" s="66">
        <v>46273</v>
      </c>
      <c r="B11" s="92" t="s">
        <v>35</v>
      </c>
      <c r="C11" s="52" t="s">
        <v>33</v>
      </c>
      <c r="D11" s="52"/>
      <c r="E11" s="52" t="s">
        <v>42</v>
      </c>
      <c r="F11" s="52">
        <v>60</v>
      </c>
      <c r="G11" s="62">
        <v>6500</v>
      </c>
      <c r="H11" s="63">
        <v>1.8</v>
      </c>
      <c r="I11" s="63">
        <v>4</v>
      </c>
      <c r="J11" s="96">
        <f t="shared" si="0"/>
        <v>5.8</v>
      </c>
      <c r="K11" s="64">
        <v>1126.0999999999999</v>
      </c>
      <c r="L11" s="93" t="s">
        <v>34</v>
      </c>
      <c r="M11" s="67" t="s">
        <v>43</v>
      </c>
      <c r="N11" s="25"/>
    </row>
    <row r="12" spans="1:14" s="77" customFormat="1" ht="15" customHeight="1" thickBot="1" x14ac:dyDescent="0.25">
      <c r="A12" s="107">
        <v>46266</v>
      </c>
      <c r="B12" s="90" t="s">
        <v>44</v>
      </c>
      <c r="C12" s="89" t="s">
        <v>45</v>
      </c>
      <c r="D12" s="108"/>
      <c r="E12" s="108" t="s">
        <v>46</v>
      </c>
      <c r="F12" s="108"/>
      <c r="G12" s="108">
        <v>800</v>
      </c>
      <c r="H12" s="108">
        <v>0</v>
      </c>
      <c r="I12" s="89">
        <v>1.4</v>
      </c>
      <c r="J12" s="96">
        <f t="shared" si="0"/>
        <v>1.4</v>
      </c>
      <c r="K12" s="64">
        <v>218</v>
      </c>
      <c r="L12" s="93" t="s">
        <v>34</v>
      </c>
      <c r="M12" s="67"/>
      <c r="N12" s="25"/>
    </row>
    <row r="13" spans="1:14" s="77" customFormat="1" ht="15" customHeight="1" thickBot="1" x14ac:dyDescent="0.25">
      <c r="A13" s="107">
        <v>46274</v>
      </c>
      <c r="B13" s="90" t="s">
        <v>44</v>
      </c>
      <c r="C13" s="89" t="s">
        <v>45</v>
      </c>
      <c r="D13" s="108"/>
      <c r="E13" s="90" t="s">
        <v>47</v>
      </c>
      <c r="F13" s="90"/>
      <c r="G13" s="90">
        <v>600</v>
      </c>
      <c r="H13" s="90">
        <v>0</v>
      </c>
      <c r="I13" s="89">
        <v>3.2</v>
      </c>
      <c r="J13" s="96">
        <f t="shared" si="0"/>
        <v>3.2</v>
      </c>
      <c r="K13" s="64">
        <v>111.2</v>
      </c>
      <c r="L13" s="52" t="s">
        <v>34</v>
      </c>
      <c r="M13" s="67" t="s">
        <v>52</v>
      </c>
      <c r="N13" s="25"/>
    </row>
    <row r="14" spans="1:14" s="77" customFormat="1" ht="15" customHeight="1" thickBot="1" x14ac:dyDescent="0.25">
      <c r="A14" s="107">
        <v>46275</v>
      </c>
      <c r="B14" s="90" t="s">
        <v>44</v>
      </c>
      <c r="C14" s="89" t="s">
        <v>45</v>
      </c>
      <c r="D14" s="108"/>
      <c r="E14" s="90" t="s">
        <v>48</v>
      </c>
      <c r="F14" s="90">
        <v>87</v>
      </c>
      <c r="G14" s="90">
        <v>16000</v>
      </c>
      <c r="H14" s="90">
        <v>1.9</v>
      </c>
      <c r="I14" s="89">
        <v>3.8</v>
      </c>
      <c r="J14" s="96">
        <f t="shared" si="0"/>
        <v>5.6999999999999993</v>
      </c>
      <c r="K14" s="64">
        <v>1159.5</v>
      </c>
      <c r="L14" s="52" t="s">
        <v>34</v>
      </c>
      <c r="M14" s="67" t="s">
        <v>53</v>
      </c>
      <c r="N14" s="25"/>
    </row>
    <row r="15" spans="1:14" s="77" customFormat="1" ht="18" customHeight="1" thickBot="1" x14ac:dyDescent="0.25">
      <c r="A15" s="109">
        <v>46276</v>
      </c>
      <c r="B15" s="90" t="s">
        <v>44</v>
      </c>
      <c r="C15" s="90" t="s">
        <v>45</v>
      </c>
      <c r="D15" s="108"/>
      <c r="E15" s="110" t="s">
        <v>49</v>
      </c>
      <c r="F15" s="111">
        <v>33</v>
      </c>
      <c r="G15" s="112">
        <v>4800</v>
      </c>
      <c r="H15" s="112">
        <v>1.2</v>
      </c>
      <c r="I15" s="89">
        <v>1.4</v>
      </c>
      <c r="J15" s="96">
        <f t="shared" si="0"/>
        <v>2.5999999999999996</v>
      </c>
      <c r="K15" s="64">
        <v>609.20000000000005</v>
      </c>
      <c r="L15" s="52" t="s">
        <v>34</v>
      </c>
      <c r="M15" s="67" t="s">
        <v>54</v>
      </c>
      <c r="N15" s="25"/>
    </row>
    <row r="16" spans="1:14" s="77" customFormat="1" ht="15" customHeight="1" thickBot="1" x14ac:dyDescent="0.25">
      <c r="A16" s="109">
        <v>46277</v>
      </c>
      <c r="B16" s="90" t="s">
        <v>44</v>
      </c>
      <c r="C16" s="90" t="s">
        <v>45</v>
      </c>
      <c r="D16" s="110"/>
      <c r="E16" s="110" t="s">
        <v>50</v>
      </c>
      <c r="F16" s="111">
        <v>50</v>
      </c>
      <c r="G16" s="110">
        <v>3100</v>
      </c>
      <c r="H16" s="112">
        <v>1.2</v>
      </c>
      <c r="I16" s="89">
        <v>3.2</v>
      </c>
      <c r="J16" s="96">
        <f t="shared" si="0"/>
        <v>4.4000000000000004</v>
      </c>
      <c r="K16" s="64">
        <v>972.3</v>
      </c>
      <c r="L16" s="52" t="s">
        <v>34</v>
      </c>
      <c r="M16" s="72" t="s">
        <v>55</v>
      </c>
      <c r="N16" s="26"/>
    </row>
    <row r="17" spans="1:14" s="77" customFormat="1" ht="15" customHeight="1" thickBot="1" x14ac:dyDescent="0.25">
      <c r="A17" s="73">
        <v>46278</v>
      </c>
      <c r="B17" s="68" t="s">
        <v>35</v>
      </c>
      <c r="C17" s="68" t="s">
        <v>45</v>
      </c>
      <c r="D17" s="68"/>
      <c r="E17" s="68" t="s">
        <v>56</v>
      </c>
      <c r="F17" s="68">
        <v>76</v>
      </c>
      <c r="G17" s="69">
        <v>500</v>
      </c>
      <c r="H17" s="70">
        <v>2</v>
      </c>
      <c r="I17" s="68">
        <v>0.2</v>
      </c>
      <c r="J17" s="96">
        <f t="shared" si="0"/>
        <v>2.2000000000000002</v>
      </c>
      <c r="K17" s="71">
        <v>418.5</v>
      </c>
      <c r="L17" s="75" t="s">
        <v>34</v>
      </c>
      <c r="M17" s="67" t="s">
        <v>57</v>
      </c>
      <c r="N17" s="26"/>
    </row>
    <row r="18" spans="1:14" s="77" customFormat="1" ht="15" customHeight="1" thickBot="1" x14ac:dyDescent="0.25">
      <c r="A18" s="66">
        <v>46279</v>
      </c>
      <c r="B18" s="52" t="s">
        <v>35</v>
      </c>
      <c r="C18" s="52" t="s">
        <v>45</v>
      </c>
      <c r="D18" s="52"/>
      <c r="E18" s="52" t="s">
        <v>58</v>
      </c>
      <c r="F18" s="52">
        <v>203</v>
      </c>
      <c r="G18" s="62">
        <v>0</v>
      </c>
      <c r="H18" s="65">
        <v>3.2</v>
      </c>
      <c r="I18" s="52">
        <v>0</v>
      </c>
      <c r="J18" s="96">
        <f t="shared" si="0"/>
        <v>3.2</v>
      </c>
      <c r="K18" s="64">
        <v>590.1</v>
      </c>
      <c r="L18" s="52" t="s">
        <v>34</v>
      </c>
      <c r="M18" s="76" t="s">
        <v>59</v>
      </c>
      <c r="N18" s="26"/>
    </row>
    <row r="19" spans="1:14" s="77" customFormat="1" ht="15" customHeight="1" thickBot="1" x14ac:dyDescent="0.25">
      <c r="A19" s="79">
        <v>46280</v>
      </c>
      <c r="B19" s="80" t="s">
        <v>35</v>
      </c>
      <c r="C19" s="80" t="s">
        <v>45</v>
      </c>
      <c r="D19" s="80"/>
      <c r="E19" s="80" t="s">
        <v>60</v>
      </c>
      <c r="F19" s="80">
        <v>92</v>
      </c>
      <c r="G19" s="81">
        <v>0</v>
      </c>
      <c r="H19" s="82">
        <v>3</v>
      </c>
      <c r="I19" s="80">
        <v>0</v>
      </c>
      <c r="J19" s="96">
        <f t="shared" si="0"/>
        <v>3</v>
      </c>
      <c r="K19" s="83">
        <v>715</v>
      </c>
      <c r="L19" s="80" t="s">
        <v>34</v>
      </c>
      <c r="M19" s="72" t="s">
        <v>61</v>
      </c>
      <c r="N19" s="26"/>
    </row>
    <row r="20" spans="1:14" s="77" customFormat="1" ht="15" customHeight="1" thickBot="1" x14ac:dyDescent="0.25">
      <c r="A20" s="84">
        <v>46282</v>
      </c>
      <c r="B20" s="85" t="s">
        <v>35</v>
      </c>
      <c r="C20" s="85" t="s">
        <v>45</v>
      </c>
      <c r="D20" s="85"/>
      <c r="E20" s="85" t="s">
        <v>63</v>
      </c>
      <c r="F20" s="85">
        <v>3</v>
      </c>
      <c r="G20" s="86">
        <v>7100</v>
      </c>
      <c r="H20" s="87">
        <v>1.5</v>
      </c>
      <c r="I20" s="85">
        <v>3.4</v>
      </c>
      <c r="J20" s="96">
        <f t="shared" si="0"/>
        <v>4.9000000000000004</v>
      </c>
      <c r="K20" s="88">
        <v>1038.4000000000001</v>
      </c>
      <c r="L20" s="80" t="s">
        <v>34</v>
      </c>
      <c r="M20" s="85" t="s">
        <v>62</v>
      </c>
      <c r="N20" s="26"/>
    </row>
    <row r="21" spans="1:14" s="77" customFormat="1" ht="15" customHeight="1" x14ac:dyDescent="0.2">
      <c r="A21" s="84">
        <v>46283</v>
      </c>
      <c r="B21" s="85" t="s">
        <v>44</v>
      </c>
      <c r="C21" s="85" t="s">
        <v>45</v>
      </c>
      <c r="D21" s="85"/>
      <c r="E21" s="85" t="s">
        <v>64</v>
      </c>
      <c r="F21" s="85">
        <v>120</v>
      </c>
      <c r="G21" s="86">
        <v>4000</v>
      </c>
      <c r="H21" s="87">
        <v>3.2</v>
      </c>
      <c r="I21" s="85">
        <v>1.2</v>
      </c>
      <c r="J21" s="74">
        <f t="shared" si="0"/>
        <v>4.4000000000000004</v>
      </c>
      <c r="K21" s="88">
        <v>876.7</v>
      </c>
      <c r="L21" s="80" t="s">
        <v>34</v>
      </c>
      <c r="M21" s="85" t="s">
        <v>68</v>
      </c>
      <c r="N21" s="26"/>
    </row>
    <row r="22" spans="1:14" s="77" customFormat="1" ht="15" customHeight="1" x14ac:dyDescent="0.2">
      <c r="A22" s="84">
        <v>46285</v>
      </c>
      <c r="B22" s="85" t="s">
        <v>44</v>
      </c>
      <c r="C22" s="85" t="s">
        <v>45</v>
      </c>
      <c r="D22" s="85"/>
      <c r="E22" s="85" t="s">
        <v>67</v>
      </c>
      <c r="F22" s="85">
        <v>60</v>
      </c>
      <c r="G22" s="86">
        <v>8500</v>
      </c>
      <c r="H22" s="87">
        <v>0.8</v>
      </c>
      <c r="I22" s="85">
        <v>4.5999999999999996</v>
      </c>
      <c r="J22" s="87">
        <f t="shared" si="0"/>
        <v>5.3999999999999995</v>
      </c>
      <c r="K22" s="88">
        <v>1184.2</v>
      </c>
      <c r="L22" s="80" t="s">
        <v>34</v>
      </c>
      <c r="M22" s="85" t="s">
        <v>69</v>
      </c>
      <c r="N22" s="26"/>
    </row>
    <row r="23" spans="1:14" s="77" customFormat="1" ht="15" customHeight="1" x14ac:dyDescent="0.2">
      <c r="A23" s="84">
        <v>46286</v>
      </c>
      <c r="B23" s="85" t="s">
        <v>44</v>
      </c>
      <c r="C23" s="85" t="s">
        <v>45</v>
      </c>
      <c r="D23" s="85"/>
      <c r="E23" s="85" t="s">
        <v>70</v>
      </c>
      <c r="F23" s="85">
        <v>17</v>
      </c>
      <c r="G23" s="86">
        <v>5000</v>
      </c>
      <c r="H23" s="87">
        <v>1.1000000000000001</v>
      </c>
      <c r="I23" s="85">
        <v>1.5</v>
      </c>
      <c r="J23" s="87">
        <f t="shared" si="0"/>
        <v>2.6</v>
      </c>
      <c r="K23" s="88">
        <v>571.6</v>
      </c>
      <c r="L23" s="80" t="s">
        <v>34</v>
      </c>
      <c r="M23" s="85" t="s">
        <v>77</v>
      </c>
      <c r="N23" s="26"/>
    </row>
    <row r="24" spans="1:14" s="77" customFormat="1" ht="15" customHeight="1" x14ac:dyDescent="0.2">
      <c r="A24" s="84">
        <v>46287</v>
      </c>
      <c r="B24" s="85" t="s">
        <v>44</v>
      </c>
      <c r="C24" s="85" t="s">
        <v>45</v>
      </c>
      <c r="D24" s="85"/>
      <c r="E24" s="85" t="s">
        <v>71</v>
      </c>
      <c r="F24" s="85">
        <v>0</v>
      </c>
      <c r="G24" s="86">
        <v>500</v>
      </c>
      <c r="H24" s="87">
        <v>0</v>
      </c>
      <c r="I24" s="85">
        <v>0.6</v>
      </c>
      <c r="J24" s="87">
        <v>0.6</v>
      </c>
      <c r="K24" s="88">
        <v>169.2</v>
      </c>
      <c r="L24" s="80" t="s">
        <v>34</v>
      </c>
      <c r="M24" s="114" t="s">
        <v>78</v>
      </c>
      <c r="N24" s="26"/>
    </row>
    <row r="25" spans="1:14" s="77" customFormat="1" ht="15" customHeight="1" x14ac:dyDescent="0.2">
      <c r="A25" s="84">
        <v>46289</v>
      </c>
      <c r="B25" s="85" t="s">
        <v>44</v>
      </c>
      <c r="C25" s="85" t="s">
        <v>45</v>
      </c>
      <c r="D25" s="85"/>
      <c r="E25" s="85" t="s">
        <v>72</v>
      </c>
      <c r="F25" s="85">
        <v>26</v>
      </c>
      <c r="G25" s="86">
        <v>4900</v>
      </c>
      <c r="H25" s="87">
        <v>2</v>
      </c>
      <c r="I25" s="85">
        <v>1.2</v>
      </c>
      <c r="J25" s="87">
        <v>3.2</v>
      </c>
      <c r="K25" s="88">
        <v>768.3</v>
      </c>
      <c r="L25" s="80" t="s">
        <v>34</v>
      </c>
      <c r="M25" s="85" t="s">
        <v>80</v>
      </c>
      <c r="N25" s="26"/>
    </row>
    <row r="26" spans="1:14" s="77" customFormat="1" ht="15" customHeight="1" x14ac:dyDescent="0.2">
      <c r="A26" s="84">
        <v>46290</v>
      </c>
      <c r="B26" s="85" t="s">
        <v>44</v>
      </c>
      <c r="C26" s="85" t="s">
        <v>45</v>
      </c>
      <c r="D26" s="85"/>
      <c r="E26" s="85" t="s">
        <v>73</v>
      </c>
      <c r="F26" s="85">
        <v>6</v>
      </c>
      <c r="G26" s="86">
        <v>3300</v>
      </c>
      <c r="H26" s="87">
        <v>1.2</v>
      </c>
      <c r="I26" s="85">
        <v>1.4</v>
      </c>
      <c r="J26" s="87">
        <v>2.6</v>
      </c>
      <c r="K26" s="88">
        <v>649.20000000000005</v>
      </c>
      <c r="L26" s="85" t="s">
        <v>34</v>
      </c>
      <c r="M26" s="85" t="s">
        <v>79</v>
      </c>
      <c r="N26" s="26"/>
    </row>
    <row r="27" spans="1:14" s="77" customFormat="1" ht="15" customHeight="1" x14ac:dyDescent="0.2">
      <c r="A27" s="84">
        <v>46291</v>
      </c>
      <c r="B27" s="85" t="s">
        <v>44</v>
      </c>
      <c r="C27" s="85" t="s">
        <v>45</v>
      </c>
      <c r="D27" s="85"/>
      <c r="E27" s="85" t="s">
        <v>74</v>
      </c>
      <c r="F27" s="85">
        <v>10</v>
      </c>
      <c r="G27" s="86">
        <v>4400</v>
      </c>
      <c r="H27" s="87">
        <v>0.7</v>
      </c>
      <c r="I27" s="85">
        <v>0.9</v>
      </c>
      <c r="J27" s="87">
        <v>1.6</v>
      </c>
      <c r="K27" s="88">
        <v>293.7</v>
      </c>
      <c r="L27" s="85" t="s">
        <v>34</v>
      </c>
      <c r="M27" s="85" t="s">
        <v>81</v>
      </c>
      <c r="N27" s="26"/>
    </row>
    <row r="28" spans="1:14" s="77" customFormat="1" ht="15" customHeight="1" x14ac:dyDescent="0.2">
      <c r="A28" s="84">
        <v>46292</v>
      </c>
      <c r="B28" s="85" t="s">
        <v>44</v>
      </c>
      <c r="C28" s="85" t="s">
        <v>45</v>
      </c>
      <c r="D28" s="85"/>
      <c r="E28" s="85" t="s">
        <v>75</v>
      </c>
      <c r="F28" s="85">
        <v>31</v>
      </c>
      <c r="G28" s="86">
        <v>4200</v>
      </c>
      <c r="H28" s="87">
        <v>0.7</v>
      </c>
      <c r="I28" s="85">
        <v>0.7</v>
      </c>
      <c r="J28" s="87">
        <v>1.4</v>
      </c>
      <c r="K28" s="88">
        <v>281.3</v>
      </c>
      <c r="L28" s="85" t="s">
        <v>34</v>
      </c>
      <c r="M28" s="85" t="s">
        <v>76</v>
      </c>
      <c r="N28" s="26"/>
    </row>
    <row r="29" spans="1:14" s="77" customFormat="1" ht="15" customHeight="1" x14ac:dyDescent="0.2">
      <c r="A29" s="84">
        <v>46293</v>
      </c>
      <c r="B29" s="85" t="s">
        <v>44</v>
      </c>
      <c r="C29" s="85" t="s">
        <v>45</v>
      </c>
      <c r="D29" s="85"/>
      <c r="E29" s="85" t="s">
        <v>82</v>
      </c>
      <c r="F29" s="85">
        <v>130</v>
      </c>
      <c r="G29" s="86">
        <v>17500</v>
      </c>
      <c r="H29" s="87">
        <v>2.6</v>
      </c>
      <c r="I29" s="85">
        <v>2.6</v>
      </c>
      <c r="J29" s="87">
        <v>5.2</v>
      </c>
      <c r="K29" s="88">
        <v>1109.7</v>
      </c>
      <c r="L29" s="85" t="s">
        <v>34</v>
      </c>
      <c r="M29" s="85" t="s">
        <v>83</v>
      </c>
      <c r="N29" s="26"/>
    </row>
    <row r="30" spans="1:14" s="77" customFormat="1" ht="15" customHeight="1" x14ac:dyDescent="0.2">
      <c r="A30" s="84"/>
      <c r="B30" s="85"/>
      <c r="C30" s="85"/>
      <c r="D30" s="85"/>
      <c r="E30" s="85"/>
      <c r="F30" s="85"/>
      <c r="G30" s="86"/>
      <c r="H30" s="87"/>
      <c r="I30" s="85"/>
      <c r="J30" s="87"/>
      <c r="K30" s="88"/>
      <c r="L30" s="85"/>
      <c r="M30" s="85"/>
      <c r="N30" s="26"/>
    </row>
    <row r="31" spans="1:14" s="77" customFormat="1" ht="15" customHeight="1" x14ac:dyDescent="0.2">
      <c r="A31" s="84"/>
      <c r="B31" s="85"/>
      <c r="C31" s="85"/>
      <c r="D31" s="85"/>
      <c r="E31" s="85"/>
      <c r="F31" s="85"/>
      <c r="G31" s="86"/>
      <c r="H31" s="87"/>
      <c r="I31" s="85"/>
      <c r="J31" s="87"/>
      <c r="K31" s="88"/>
      <c r="L31" s="85"/>
      <c r="M31" s="85"/>
      <c r="N31" s="26"/>
    </row>
    <row r="32" spans="1:14" s="77" customFormat="1" ht="15" customHeight="1" x14ac:dyDescent="0.2">
      <c r="A32" s="84"/>
      <c r="B32" s="85"/>
      <c r="C32" s="85"/>
      <c r="D32" s="85"/>
      <c r="E32" s="85"/>
      <c r="F32" s="85"/>
      <c r="G32" s="86"/>
      <c r="H32" s="87"/>
      <c r="I32" s="85"/>
      <c r="J32" s="87"/>
      <c r="K32" s="88"/>
      <c r="L32" s="85"/>
      <c r="M32" s="85"/>
      <c r="N32" s="26"/>
    </row>
    <row r="33" spans="1:14" s="77" customFormat="1" ht="15" customHeight="1" x14ac:dyDescent="0.2">
      <c r="A33" s="84"/>
      <c r="B33" s="85"/>
      <c r="C33" s="85"/>
      <c r="D33" s="85"/>
      <c r="E33" s="85"/>
      <c r="F33" s="85"/>
      <c r="G33" s="86"/>
      <c r="H33" s="87"/>
      <c r="I33" s="85"/>
      <c r="J33" s="87"/>
      <c r="K33" s="88"/>
      <c r="L33" s="85"/>
      <c r="M33" s="85"/>
      <c r="N33" s="26"/>
    </row>
    <row r="34" spans="1:14" s="77" customFormat="1" ht="15" customHeight="1" thickBot="1" x14ac:dyDescent="0.25">
      <c r="A34" s="113"/>
      <c r="B34" s="78"/>
      <c r="C34" s="78"/>
      <c r="D34" s="138" t="s">
        <v>29</v>
      </c>
      <c r="E34" s="139"/>
      <c r="F34" s="27">
        <f t="shared" ref="F34:K34" si="1">SUM(F8:F33)</f>
        <v>1079</v>
      </c>
      <c r="G34" s="27">
        <f t="shared" si="1"/>
        <v>110800</v>
      </c>
      <c r="H34" s="27">
        <f t="shared" si="1"/>
        <v>30.1</v>
      </c>
      <c r="I34" s="27">
        <f t="shared" si="1"/>
        <v>41.1</v>
      </c>
      <c r="J34" s="27">
        <f t="shared" si="1"/>
        <v>71.200000000000017</v>
      </c>
      <c r="K34" s="28">
        <f t="shared" si="1"/>
        <v>14493.200000000003</v>
      </c>
      <c r="L34" s="78"/>
      <c r="M34" s="78"/>
      <c r="N34" s="78"/>
    </row>
    <row r="35" spans="1:14" s="77" customFormat="1" ht="15" customHeight="1" thickBot="1" x14ac:dyDescent="0.25">
      <c r="A35" s="78"/>
      <c r="B35" s="115" t="s">
        <v>19</v>
      </c>
      <c r="C35" s="116"/>
      <c r="D35" s="117"/>
      <c r="E35" s="29">
        <f t="shared" ref="E35:E36" si="2">C5</f>
        <v>29</v>
      </c>
      <c r="F35" s="126" t="s">
        <v>20</v>
      </c>
      <c r="G35" s="127"/>
      <c r="H35" s="30">
        <f>K34/J34</f>
        <v>203.5561797752809</v>
      </c>
      <c r="I35" s="31"/>
      <c r="J35" s="78"/>
      <c r="K35" s="78"/>
      <c r="L35" s="78"/>
      <c r="M35" s="78"/>
      <c r="N35" s="78"/>
    </row>
    <row r="36" spans="1:14" s="77" customFormat="1" ht="15" customHeight="1" thickBot="1" x14ac:dyDescent="0.25">
      <c r="A36" s="78"/>
      <c r="B36" s="115" t="s">
        <v>21</v>
      </c>
      <c r="C36" s="116"/>
      <c r="D36" s="117"/>
      <c r="E36" s="32">
        <f t="shared" si="2"/>
        <v>41</v>
      </c>
      <c r="F36" s="118" t="s">
        <v>22</v>
      </c>
      <c r="G36" s="119"/>
      <c r="H36" s="33">
        <f>E35+E36</f>
        <v>70</v>
      </c>
      <c r="I36" s="78"/>
      <c r="J36" s="78"/>
      <c r="K36" s="78"/>
      <c r="L36" s="26"/>
      <c r="M36" s="78"/>
      <c r="N36" s="78"/>
    </row>
    <row r="37" spans="1:14" s="77" customFormat="1" ht="15" customHeight="1" x14ac:dyDescent="0.2">
      <c r="A37" s="78"/>
      <c r="B37" s="78"/>
      <c r="C37" s="78"/>
      <c r="D37" s="78"/>
      <c r="E37" s="78"/>
      <c r="F37" s="78"/>
      <c r="G37" s="31"/>
      <c r="H37" s="78"/>
      <c r="I37" s="78"/>
      <c r="J37" s="78"/>
      <c r="K37" s="78"/>
      <c r="L37" s="26"/>
      <c r="M37" s="78"/>
      <c r="N37" s="78"/>
    </row>
    <row r="38" spans="1:14" s="77" customFormat="1" ht="15" customHeight="1" x14ac:dyDescent="0.2">
      <c r="A38" s="120" t="s">
        <v>30</v>
      </c>
      <c r="B38" s="121"/>
      <c r="C38" s="34">
        <f>H34</f>
        <v>30.1</v>
      </c>
      <c r="D38" s="35" t="s">
        <v>23</v>
      </c>
      <c r="E38" s="36">
        <f>C5-H34</f>
        <v>-1.1000000000000014</v>
      </c>
      <c r="F38" s="78"/>
      <c r="G38" s="78"/>
      <c r="H38" s="78"/>
      <c r="I38" s="78"/>
      <c r="J38" s="78"/>
      <c r="K38" s="78"/>
      <c r="L38" s="26"/>
      <c r="M38" s="78"/>
      <c r="N38" s="78"/>
    </row>
    <row r="39" spans="1:14" s="77" customFormat="1" ht="15" customHeight="1" x14ac:dyDescent="0.2">
      <c r="A39" s="122" t="s">
        <v>31</v>
      </c>
      <c r="B39" s="123"/>
      <c r="C39" s="37">
        <f>I34</f>
        <v>41.1</v>
      </c>
      <c r="D39" s="38" t="s">
        <v>24</v>
      </c>
      <c r="E39" s="36">
        <f>C6-I34</f>
        <v>-0.10000000000000142</v>
      </c>
      <c r="F39" s="78"/>
      <c r="G39" s="78"/>
      <c r="H39" s="78"/>
      <c r="I39" s="78"/>
      <c r="J39" s="78"/>
      <c r="K39" s="78"/>
      <c r="L39" s="26"/>
      <c r="M39" s="78"/>
      <c r="N39" s="78"/>
    </row>
    <row r="40" spans="1:14" s="77" customFormat="1" ht="15" customHeight="1" x14ac:dyDescent="0.2">
      <c r="A40" s="124"/>
      <c r="B40" s="125"/>
      <c r="C40" s="78"/>
      <c r="D40" s="47" t="s">
        <v>25</v>
      </c>
      <c r="E40" s="48">
        <f>SUM(E38:E39)</f>
        <v>-1.2000000000000028</v>
      </c>
      <c r="F40" s="78"/>
      <c r="G40" s="26"/>
      <c r="H40" s="26"/>
      <c r="I40" s="26"/>
      <c r="J40" s="26"/>
      <c r="K40" s="26"/>
      <c r="L40" s="26"/>
      <c r="M40" s="78"/>
      <c r="N40" s="78"/>
    </row>
    <row r="41" spans="1:14" s="77" customFormat="1" ht="15" customHeight="1" x14ac:dyDescent="0.2">
      <c r="A41" s="78"/>
      <c r="B41" s="78"/>
      <c r="C41" s="26"/>
      <c r="D41" s="49" t="s">
        <v>65</v>
      </c>
      <c r="E41" s="50"/>
      <c r="F41" s="78"/>
      <c r="G41" s="26"/>
      <c r="H41" s="26"/>
      <c r="I41" s="26"/>
      <c r="J41" s="26"/>
      <c r="K41" s="26"/>
      <c r="L41" s="26"/>
      <c r="M41" s="78"/>
      <c r="N41" s="78"/>
    </row>
    <row r="42" spans="1:14" ht="15" customHeight="1" x14ac:dyDescent="0.2">
      <c r="A42" s="2"/>
      <c r="B42" s="2"/>
      <c r="C42" s="1"/>
      <c r="D42" s="46" t="s">
        <v>25</v>
      </c>
      <c r="E42" s="51">
        <f>E40-E41</f>
        <v>-1.2000000000000028</v>
      </c>
      <c r="F42" s="2"/>
      <c r="G42" s="1"/>
      <c r="H42" s="1"/>
      <c r="I42" s="1"/>
      <c r="J42" s="1"/>
      <c r="K42" s="1"/>
      <c r="L42" s="1"/>
      <c r="M42" s="2"/>
      <c r="N42" s="2"/>
    </row>
    <row r="43" spans="1:14" ht="15" customHeight="1" x14ac:dyDescent="0.2">
      <c r="A43" s="1"/>
      <c r="B43" s="1"/>
      <c r="D43" s="1"/>
      <c r="E43" s="1"/>
      <c r="F43" s="1"/>
      <c r="G43" s="3"/>
      <c r="M43" s="1"/>
      <c r="N43" s="1"/>
    </row>
    <row r="44" spans="1:14" ht="15" customHeight="1" x14ac:dyDescent="0.2">
      <c r="A44" s="1"/>
      <c r="B44" s="1"/>
      <c r="D44" s="1"/>
      <c r="E44" s="1"/>
      <c r="F44" s="1"/>
      <c r="G44" s="3"/>
      <c r="M44" s="1"/>
      <c r="N44" s="1"/>
    </row>
    <row r="45" spans="1:14" ht="14.25" customHeight="1" x14ac:dyDescent="0.2">
      <c r="G45" s="3"/>
    </row>
    <row r="46" spans="1:14" ht="14.25" customHeight="1" x14ac:dyDescent="0.2">
      <c r="G46" s="3"/>
    </row>
    <row r="47" spans="1:14" ht="14.25" customHeight="1" x14ac:dyDescent="0.2">
      <c r="G47" s="3"/>
    </row>
    <row r="48" spans="1:14" ht="14.25" customHeight="1" x14ac:dyDescent="0.2">
      <c r="G48" s="3"/>
    </row>
    <row r="49" spans="7:7" ht="14.25" customHeight="1" x14ac:dyDescent="0.2">
      <c r="G49" s="3"/>
    </row>
    <row r="50" spans="7:7" ht="14.25" customHeight="1" x14ac:dyDescent="0.2">
      <c r="G50" s="3"/>
    </row>
    <row r="51" spans="7:7" ht="14.25" customHeight="1" x14ac:dyDescent="0.2">
      <c r="G51" s="3"/>
    </row>
    <row r="52" spans="7:7" ht="14.25" customHeight="1" x14ac:dyDescent="0.2">
      <c r="G52" s="3"/>
    </row>
    <row r="53" spans="7:7" ht="14.25" customHeight="1" x14ac:dyDescent="0.2">
      <c r="G53" s="3"/>
    </row>
    <row r="54" spans="7:7" ht="14.25" customHeight="1" x14ac:dyDescent="0.2">
      <c r="G54" s="3"/>
    </row>
    <row r="55" spans="7:7" ht="14.25" customHeight="1" x14ac:dyDescent="0.2">
      <c r="G55" s="3"/>
    </row>
    <row r="56" spans="7:7" ht="14.25" customHeight="1" x14ac:dyDescent="0.2">
      <c r="G56" s="3"/>
    </row>
    <row r="57" spans="7:7" ht="14.25" customHeight="1" x14ac:dyDescent="0.2">
      <c r="G57" s="3"/>
    </row>
    <row r="58" spans="7:7" ht="14.25" customHeight="1" x14ac:dyDescent="0.2">
      <c r="G58" s="3"/>
    </row>
    <row r="59" spans="7:7" ht="14.25" customHeight="1" x14ac:dyDescent="0.2">
      <c r="G59" s="3"/>
    </row>
    <row r="60" spans="7:7" ht="14.25" customHeight="1" x14ac:dyDescent="0.2">
      <c r="G60" s="3"/>
    </row>
    <row r="61" spans="7:7" ht="14.25" customHeight="1" x14ac:dyDescent="0.2">
      <c r="G61" s="3"/>
    </row>
    <row r="62" spans="7:7" ht="14.25" customHeight="1" x14ac:dyDescent="0.2">
      <c r="G62" s="3"/>
    </row>
    <row r="63" spans="7:7" ht="14.25" customHeight="1" x14ac:dyDescent="0.2">
      <c r="G63" s="3"/>
    </row>
    <row r="64" spans="7:7" ht="14.25" customHeight="1" x14ac:dyDescent="0.2">
      <c r="G64" s="3"/>
    </row>
    <row r="65" spans="7:7" ht="14.25" customHeight="1" x14ac:dyDescent="0.2">
      <c r="G65" s="3"/>
    </row>
    <row r="66" spans="7:7" ht="14.25" customHeight="1" x14ac:dyDescent="0.2">
      <c r="G66" s="3"/>
    </row>
    <row r="67" spans="7:7" ht="14.25" customHeight="1" x14ac:dyDescent="0.2">
      <c r="G67" s="3"/>
    </row>
    <row r="68" spans="7:7" ht="14.25" customHeight="1" x14ac:dyDescent="0.2">
      <c r="G68" s="3"/>
    </row>
    <row r="69" spans="7:7" ht="14.25" customHeight="1" x14ac:dyDescent="0.2">
      <c r="G69" s="3"/>
    </row>
    <row r="70" spans="7:7" ht="14.25" customHeight="1" x14ac:dyDescent="0.2">
      <c r="G70" s="3"/>
    </row>
    <row r="71" spans="7:7" ht="14.25" customHeight="1" x14ac:dyDescent="0.2">
      <c r="G71" s="3"/>
    </row>
    <row r="72" spans="7:7" ht="14.25" customHeight="1" x14ac:dyDescent="0.2">
      <c r="G72" s="3"/>
    </row>
    <row r="73" spans="7:7" ht="14.25" customHeight="1" x14ac:dyDescent="0.2">
      <c r="G73" s="3"/>
    </row>
    <row r="74" spans="7:7" ht="14.25" customHeight="1" x14ac:dyDescent="0.2">
      <c r="G74" s="3"/>
    </row>
    <row r="75" spans="7:7" ht="14.25" customHeight="1" x14ac:dyDescent="0.2">
      <c r="G75" s="3"/>
    </row>
    <row r="76" spans="7:7" ht="14.25" customHeight="1" x14ac:dyDescent="0.2">
      <c r="G76" s="3"/>
    </row>
    <row r="77" spans="7:7" ht="14.25" customHeight="1" x14ac:dyDescent="0.2">
      <c r="G77" s="3"/>
    </row>
    <row r="78" spans="7:7" ht="14.25" customHeight="1" x14ac:dyDescent="0.2">
      <c r="G78" s="3"/>
    </row>
    <row r="79" spans="7:7" ht="14.25" customHeight="1" x14ac:dyDescent="0.2">
      <c r="G79" s="3"/>
    </row>
    <row r="80" spans="7:7" ht="14.25" customHeight="1" x14ac:dyDescent="0.2">
      <c r="G80" s="3"/>
    </row>
    <row r="81" spans="7:7" ht="14.25" customHeight="1" x14ac:dyDescent="0.2">
      <c r="G81" s="3"/>
    </row>
    <row r="82" spans="7:7" ht="14.25" customHeight="1" x14ac:dyDescent="0.2">
      <c r="G82" s="3"/>
    </row>
    <row r="83" spans="7:7" ht="14.25" customHeight="1" x14ac:dyDescent="0.2">
      <c r="G83" s="3"/>
    </row>
    <row r="84" spans="7:7" ht="14.25" customHeight="1" x14ac:dyDescent="0.2">
      <c r="G84" s="3"/>
    </row>
    <row r="85" spans="7:7" ht="14.25" customHeight="1" x14ac:dyDescent="0.2">
      <c r="G85" s="3"/>
    </row>
    <row r="86" spans="7:7" ht="14.25" customHeight="1" x14ac:dyDescent="0.2">
      <c r="G86" s="3"/>
    </row>
    <row r="87" spans="7:7" ht="14.25" customHeight="1" x14ac:dyDescent="0.2">
      <c r="G87" s="3"/>
    </row>
    <row r="88" spans="7:7" ht="14.25" customHeight="1" x14ac:dyDescent="0.2">
      <c r="G88" s="3"/>
    </row>
    <row r="89" spans="7:7" ht="14.25" customHeight="1" x14ac:dyDescent="0.2">
      <c r="G89" s="3"/>
    </row>
    <row r="90" spans="7:7" ht="14.25" customHeight="1" x14ac:dyDescent="0.2">
      <c r="G90" s="3"/>
    </row>
    <row r="91" spans="7:7" ht="14.25" customHeight="1" x14ac:dyDescent="0.2">
      <c r="G91" s="3"/>
    </row>
    <row r="92" spans="7:7" ht="14.25" customHeight="1" x14ac:dyDescent="0.2"/>
    <row r="93" spans="7:7" ht="14.25" customHeight="1" x14ac:dyDescent="0.2"/>
    <row r="94" spans="7:7" ht="14.25" customHeight="1" x14ac:dyDescent="0.2"/>
    <row r="95" spans="7:7" ht="15.75" customHeight="1" x14ac:dyDescent="0.2"/>
    <row r="96" spans="7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</sheetData>
  <mergeCells count="12">
    <mergeCell ref="B35:D35"/>
    <mergeCell ref="F35:G35"/>
    <mergeCell ref="A1:C3"/>
    <mergeCell ref="D1:E1"/>
    <mergeCell ref="L1:L6"/>
    <mergeCell ref="F3:I3"/>
    <mergeCell ref="D34:E34"/>
    <mergeCell ref="B36:D36"/>
    <mergeCell ref="F36:G36"/>
    <mergeCell ref="A38:B38"/>
    <mergeCell ref="A39:B39"/>
    <mergeCell ref="A40:B40"/>
  </mergeCells>
  <phoneticPr fontId="1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BMMA7 UNGRD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ms39006</dc:creator>
  <cp:lastModifiedBy>Office</cp:lastModifiedBy>
  <dcterms:created xsi:type="dcterms:W3CDTF">2024-12-21T15:38:00Z</dcterms:created>
  <dcterms:modified xsi:type="dcterms:W3CDTF">2026-09-29T03:48:39Z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6DB64145948449BC99D64FE312539543_12</vt:lpwstr>
  </property>
  <property fmtid="{D5CDD505-2E9C-101B-9397-08002B2CF9AE}" pid="3" name="KSOProductBuildVer">
    <vt:lpwstr>2058-12.2.0.21546</vt:lpwstr>
  </property>
</Properties>
</file>